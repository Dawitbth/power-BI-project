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35" windowWidth="20055" windowHeight="7695"/>
  </bookViews>
  <sheets>
    <sheet name="Students Rank" sheetId="1" r:id="rId1"/>
    <sheet name="Dates,Days,Months,Years" sheetId="2" r:id="rId2"/>
    <sheet name="Report" sheetId="3" r:id="rId3"/>
    <sheet name="Sheet1" sheetId="4" r:id="rId4"/>
  </sheets>
  <definedNames>
    <definedName name="_xlnm.Print_Area" localSheetId="0">'Students Rank'!$O$4:$O$11</definedName>
  </definedNames>
  <calcPr calcId="124519"/>
</workbook>
</file>

<file path=xl/calcChain.xml><?xml version="1.0" encoding="utf-8"?>
<calcChain xmlns="http://schemas.openxmlformats.org/spreadsheetml/2006/main">
  <c r="S12" i="1"/>
  <c r="N13"/>
  <c r="P13" s="1"/>
  <c r="Q13" l="1"/>
  <c r="S4"/>
  <c r="S5"/>
  <c r="S6"/>
  <c r="S7"/>
  <c r="S8"/>
  <c r="S9"/>
  <c r="S10"/>
  <c r="S11"/>
  <c r="K6" i="2" l="1"/>
  <c r="P7" i="4"/>
  <c r="P8"/>
  <c r="P9"/>
  <c r="P6"/>
  <c r="O6"/>
  <c r="O7"/>
  <c r="O8"/>
  <c r="O9"/>
  <c r="N7"/>
  <c r="N8"/>
  <c r="N9"/>
  <c r="N6"/>
  <c r="M7"/>
  <c r="M8"/>
  <c r="M9"/>
  <c r="M6"/>
  <c r="L7"/>
  <c r="L8"/>
  <c r="L9"/>
  <c r="L6"/>
  <c r="K7"/>
  <c r="K8"/>
  <c r="K9"/>
  <c r="K6"/>
  <c r="J7"/>
  <c r="J8"/>
  <c r="J9"/>
  <c r="J6"/>
  <c r="I7"/>
  <c r="I8"/>
  <c r="I9"/>
  <c r="I6"/>
  <c r="C9"/>
  <c r="C8"/>
  <c r="C7"/>
  <c r="C6"/>
  <c r="K7" i="2"/>
  <c r="K8"/>
  <c r="K9"/>
  <c r="J9"/>
  <c r="J8"/>
  <c r="J7"/>
  <c r="J6"/>
  <c r="B4" i="1"/>
  <c r="B9"/>
  <c r="B7"/>
  <c r="B11"/>
  <c r="B6"/>
  <c r="B5"/>
  <c r="B10"/>
  <c r="B8"/>
  <c r="G4" i="2"/>
  <c r="G3"/>
  <c r="L10" i="1"/>
  <c r="L5"/>
  <c r="L6"/>
  <c r="L11"/>
  <c r="L9"/>
  <c r="L7"/>
  <c r="L4"/>
  <c r="L8"/>
  <c r="K10"/>
  <c r="K5"/>
  <c r="K6"/>
  <c r="K11"/>
  <c r="K9"/>
  <c r="K7"/>
  <c r="K4"/>
  <c r="K8"/>
  <c r="E5" i="2"/>
  <c r="N10" i="1"/>
  <c r="N5"/>
  <c r="N6"/>
  <c r="N11"/>
  <c r="N9"/>
  <c r="N7"/>
  <c r="N4"/>
  <c r="N8"/>
  <c r="M10"/>
  <c r="P10" s="1"/>
  <c r="M5"/>
  <c r="P5" s="1"/>
  <c r="M6"/>
  <c r="P6" s="1"/>
  <c r="M11"/>
  <c r="P11" s="1"/>
  <c r="M9"/>
  <c r="P9" s="1"/>
  <c r="M7"/>
  <c r="P7" s="1"/>
  <c r="M4"/>
  <c r="P4" s="1"/>
  <c r="M8"/>
  <c r="P8" s="1"/>
  <c r="J10"/>
  <c r="J5"/>
  <c r="J6"/>
  <c r="J11"/>
  <c r="J9"/>
  <c r="J7"/>
  <c r="J4"/>
  <c r="J8"/>
  <c r="I10"/>
  <c r="I5"/>
  <c r="I6"/>
  <c r="I11"/>
  <c r="I9"/>
  <c r="I7"/>
  <c r="I4"/>
  <c r="I8"/>
  <c r="D7" i="2"/>
  <c r="O4" i="1" l="1"/>
  <c r="O6"/>
  <c r="O8"/>
  <c r="O11"/>
  <c r="O9"/>
  <c r="O10"/>
  <c r="O7"/>
  <c r="O5"/>
</calcChain>
</file>

<file path=xl/sharedStrings.xml><?xml version="1.0" encoding="utf-8"?>
<sst xmlns="http://schemas.openxmlformats.org/spreadsheetml/2006/main" count="117" uniqueCount="76">
  <si>
    <t>Name</t>
  </si>
  <si>
    <t>math</t>
  </si>
  <si>
    <t>phy</t>
  </si>
  <si>
    <t>bio</t>
  </si>
  <si>
    <t>sida</t>
  </si>
  <si>
    <t>Dawit Tamirat</t>
  </si>
  <si>
    <t>Teshale Bacho</t>
  </si>
  <si>
    <t>Gatiso Bassa</t>
  </si>
  <si>
    <t>Abebe Kassa</t>
  </si>
  <si>
    <t>Aster Abera</t>
  </si>
  <si>
    <t>Mulgeta Biliso</t>
  </si>
  <si>
    <t>Fikadu Belete</t>
  </si>
  <si>
    <t>Rahel Teshome</t>
  </si>
  <si>
    <t>Student Scores Table</t>
  </si>
  <si>
    <r>
      <t>N</t>
    </r>
    <r>
      <rPr>
        <b/>
        <u/>
        <sz val="12"/>
        <color theme="1"/>
        <rFont val="Calibri"/>
        <family val="2"/>
        <scheme val="minor"/>
      </rPr>
      <t>O</t>
    </r>
  </si>
  <si>
    <t>subjects score( 100)</t>
  </si>
  <si>
    <t>min</t>
  </si>
  <si>
    <t>max</t>
  </si>
  <si>
    <t>aver</t>
  </si>
  <si>
    <t>total(400)</t>
  </si>
  <si>
    <t>Rank</t>
  </si>
  <si>
    <t>mod</t>
  </si>
  <si>
    <t>Excel Lesson :Dates, Days, Month, And Years</t>
  </si>
  <si>
    <t>Enter today's Date</t>
  </si>
  <si>
    <t>Get the Current date and time</t>
  </si>
  <si>
    <t>Now()</t>
  </si>
  <si>
    <t>TODAY()</t>
  </si>
  <si>
    <t>Create a Date</t>
  </si>
  <si>
    <t>Date(2026,8,20)</t>
  </si>
  <si>
    <t>Extract Day, Month, and Year</t>
  </si>
  <si>
    <t>20/08/2026</t>
  </si>
  <si>
    <t>Day(12A)</t>
  </si>
  <si>
    <t>Get name of the day</t>
  </si>
  <si>
    <t>Text(16A,"dddd") for short ''ddd''</t>
  </si>
  <si>
    <t>Calculate Someone's age</t>
  </si>
  <si>
    <t>A</t>
  </si>
  <si>
    <t>B</t>
  </si>
  <si>
    <t>Birth Date</t>
  </si>
  <si>
    <t>dawit</t>
  </si>
  <si>
    <t>Calculate days between tow dates</t>
  </si>
  <si>
    <t>DATEDIF(A2,B2,"D")</t>
  </si>
  <si>
    <t>Find a Date 3 months later</t>
  </si>
  <si>
    <t>EDATE(A2,3)</t>
  </si>
  <si>
    <t>med</t>
  </si>
  <si>
    <t>Status</t>
  </si>
  <si>
    <t>Sex</t>
  </si>
  <si>
    <t>Male</t>
  </si>
  <si>
    <t>Female</t>
  </si>
  <si>
    <t>Date</t>
  </si>
  <si>
    <t>Dawit</t>
  </si>
  <si>
    <t>Teshale</t>
  </si>
  <si>
    <t>Shuluka</t>
  </si>
  <si>
    <t>Dokile</t>
  </si>
  <si>
    <t>Age</t>
  </si>
  <si>
    <t>DATEDIF(E5, TODAY(),"Y")</t>
  </si>
  <si>
    <t>50 &lt;</t>
  </si>
  <si>
    <t xml:space="preserve">Create A link </t>
  </si>
  <si>
    <t>Column1</t>
  </si>
  <si>
    <t>የመጀመሪያ ቀን</t>
  </si>
  <si>
    <t>tamirat</t>
  </si>
  <si>
    <t>Gatiso</t>
  </si>
  <si>
    <t>Bassa</t>
  </si>
  <si>
    <t>Rahel</t>
  </si>
  <si>
    <t>Teshome</t>
  </si>
  <si>
    <t>Abebe</t>
  </si>
  <si>
    <t>Kassa</t>
  </si>
  <si>
    <t>Tamirat</t>
  </si>
  <si>
    <t>Mulgeta</t>
  </si>
  <si>
    <t>Biliso</t>
  </si>
  <si>
    <t>Fikadu</t>
  </si>
  <si>
    <t>Belete</t>
  </si>
  <si>
    <t>Bacho</t>
  </si>
  <si>
    <t>Aster</t>
  </si>
  <si>
    <t>Abera</t>
  </si>
  <si>
    <t>First Name</t>
  </si>
  <si>
    <t>Father Name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</si>
</sst>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1" xfId="0" applyNumberFormat="1" applyBorder="1"/>
    <xf numFmtId="0" fontId="1" fillId="0" borderId="1" xfId="0" applyFont="1" applyBorder="1"/>
    <xf numFmtId="0" fontId="0" fillId="0" borderId="2" xfId="0" applyBorder="1"/>
    <xf numFmtId="0" fontId="0" fillId="0" borderId="6" xfId="0" applyBorder="1"/>
    <xf numFmtId="0" fontId="7" fillId="3" borderId="1" xfId="2" applyBorder="1"/>
    <xf numFmtId="0" fontId="8" fillId="0" borderId="0" xfId="3" applyAlignment="1" applyProtection="1"/>
    <xf numFmtId="14" fontId="0" fillId="0" borderId="9" xfId="0" applyNumberFormat="1" applyBorder="1"/>
    <xf numFmtId="0" fontId="7" fillId="3" borderId="9" xfId="2" applyBorder="1"/>
    <xf numFmtId="0" fontId="0" fillId="0" borderId="9" xfId="0" applyBorder="1"/>
    <xf numFmtId="0" fontId="6" fillId="2" borderId="3" xfId="1" applyBorder="1"/>
    <xf numFmtId="0" fontId="6" fillId="2" borderId="7" xfId="1" applyBorder="1"/>
    <xf numFmtId="0" fontId="7" fillId="3" borderId="1" xfId="2" applyFont="1" applyFill="1" applyBorder="1"/>
    <xf numFmtId="0" fontId="0" fillId="0" borderId="1" xfId="0" applyFont="1" applyBorder="1"/>
    <xf numFmtId="0" fontId="8" fillId="0" borderId="1" xfId="3" applyFont="1" applyBorder="1" applyAlignment="1" applyProtection="1"/>
    <xf numFmtId="0" fontId="2" fillId="0" borderId="4" xfId="0" applyFont="1" applyBorder="1" applyAlignment="1"/>
    <xf numFmtId="0" fontId="2" fillId="0" borderId="8" xfId="0" applyFont="1" applyBorder="1" applyAlignment="1"/>
    <xf numFmtId="0" fontId="2" fillId="0" borderId="8" xfId="0" applyFont="1" applyFill="1" applyBorder="1" applyAlignment="1"/>
    <xf numFmtId="0" fontId="2" fillId="0" borderId="5" xfId="0" applyFont="1" applyFill="1" applyBorder="1" applyAlignment="1"/>
    <xf numFmtId="0" fontId="0" fillId="0" borderId="0" xfId="0" applyBorder="1" applyAlignment="1"/>
    <xf numFmtId="0" fontId="2" fillId="0" borderId="1" xfId="0" applyFont="1" applyFill="1" applyBorder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40% - Accent1" xfId="1" builtinId="31"/>
    <cellStyle name="Accent5" xfId="2" builtinId="45"/>
    <cellStyle name="Hyperlink" xfId="3" builtinId="8"/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ables/table1.xml><?xml version="1.0" encoding="utf-8"?>
<table xmlns="http://schemas.openxmlformats.org/spreadsheetml/2006/main" id="3" name="Table3" displayName="Table3" ref="A3:P11" totalsRowShown="0" headerRowDxfId="19" headerRowBorderDxfId="18" tableBorderDxfId="17" totalsRowBorderDxfId="16">
  <autoFilter ref="A3:P11">
    <filterColumn colId="2"/>
  </autoFilter>
  <sortState ref="A4:P11">
    <sortCondition descending="1" ref="O3:O11"/>
  </sortState>
  <tableColumns count="16">
    <tableColumn id="1" name="NO" dataDxfId="15"/>
    <tableColumn id="2" name="Date" dataDxfId="14"/>
    <tableColumn id="18" name="Column1" dataDxfId="13" dataCellStyle="Accent5"/>
    <tableColumn id="5" name="First Name" dataDxfId="12" dataCellStyle="Accent5"/>
    <tableColumn id="6" name="Father Name" dataDxfId="11"/>
    <tableColumn id="7" name="phy" dataDxfId="10"/>
    <tableColumn id="8" name="bio" dataDxfId="9"/>
    <tableColumn id="9" name="sida" dataDxfId="8"/>
    <tableColumn id="10" name="min" dataDxfId="7">
      <calculatedColumnFormula>MIN(E4:H4)</calculatedColumnFormula>
    </tableColumn>
    <tableColumn id="11" name="max" dataDxfId="6">
      <calculatedColumnFormula>MAX(E4:H4)</calculatedColumnFormula>
    </tableColumn>
    <tableColumn id="12" name="mod" dataDxfId="5">
      <calculatedColumnFormula>MODE(E4:H4)</calculatedColumnFormula>
    </tableColumn>
    <tableColumn id="13" name="med" dataDxfId="4">
      <calculatedColumnFormula>MEDIAN(E4:H4)</calculatedColumnFormula>
    </tableColumn>
    <tableColumn id="14" name="aver" dataDxfId="3">
      <calculatedColumnFormula>AVERAGE(E4:H4)</calculatedColumnFormula>
    </tableColumn>
    <tableColumn id="15" name="total(400)" dataDxfId="2">
      <calculatedColumnFormula>SUM(E4:H4)</calculatedColumnFormula>
    </tableColumn>
    <tableColumn id="16" name="Rank" dataDxfId="1">
      <calculatedColumnFormula>RANK(N4,N$4:N$11)</calculatedColumnFormula>
    </tableColumn>
    <tableColumn id="17" name="Status" dataDxfId="0" dataCellStyle="40% - Accent1">
      <calculatedColumnFormula>IF(M4 &gt; 50,"Pass","Fail")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&#4840;&#4632;&#4864;&#4632;&#4650;&#4843;%20&#4672;&#4757;.docx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>
      <selection activeCell="I14" sqref="I14"/>
    </sheetView>
  </sheetViews>
  <sheetFormatPr defaultRowHeight="15" outlineLevelRow="1"/>
  <cols>
    <col min="1" max="1" width="6.28515625" customWidth="1"/>
    <col min="2" max="2" width="12.7109375" bestFit="1" customWidth="1"/>
    <col min="3" max="3" width="12.7109375" customWidth="1"/>
    <col min="4" max="4" width="15.42578125" customWidth="1"/>
    <col min="5" max="5" width="16" bestFit="1" customWidth="1"/>
    <col min="6" max="6" width="14.7109375" bestFit="1" customWidth="1"/>
    <col min="7" max="7" width="9.7109375" bestFit="1" customWidth="1"/>
    <col min="14" max="14" width="12.7109375" customWidth="1"/>
    <col min="16" max="16" width="12.85546875" bestFit="1" customWidth="1"/>
    <col min="19" max="19" width="12.5703125" customWidth="1"/>
  </cols>
  <sheetData>
    <row r="1" spans="1:19" ht="23.25">
      <c r="A1" s="30" t="s">
        <v>13</v>
      </c>
      <c r="B1" s="30"/>
      <c r="C1" s="30"/>
      <c r="D1" s="30"/>
      <c r="E1" s="30"/>
      <c r="F1" s="30"/>
      <c r="G1" s="30"/>
      <c r="H1" s="30"/>
    </row>
    <row r="2" spans="1:19">
      <c r="E2" s="28" t="s">
        <v>15</v>
      </c>
      <c r="F2" s="29"/>
      <c r="G2" s="29"/>
      <c r="H2" s="29"/>
      <c r="M2">
        <v>190</v>
      </c>
    </row>
    <row r="3" spans="1:19" s="27" customFormat="1" ht="15.75" hidden="1" outlineLevel="1">
      <c r="A3" s="21" t="s">
        <v>14</v>
      </c>
      <c r="B3" s="22" t="s">
        <v>48</v>
      </c>
      <c r="C3" s="22" t="s">
        <v>57</v>
      </c>
      <c r="D3" s="22" t="s">
        <v>74</v>
      </c>
      <c r="E3" s="22" t="s">
        <v>75</v>
      </c>
      <c r="F3" s="22" t="s">
        <v>2</v>
      </c>
      <c r="G3" s="22" t="s">
        <v>3</v>
      </c>
      <c r="H3" s="22" t="s">
        <v>4</v>
      </c>
      <c r="I3" s="23" t="s">
        <v>16</v>
      </c>
      <c r="J3" s="23" t="s">
        <v>17</v>
      </c>
      <c r="K3" s="23" t="s">
        <v>21</v>
      </c>
      <c r="L3" s="23" t="s">
        <v>43</v>
      </c>
      <c r="M3" s="23" t="s">
        <v>18</v>
      </c>
      <c r="N3" s="23" t="s">
        <v>19</v>
      </c>
      <c r="O3" s="23" t="s">
        <v>20</v>
      </c>
      <c r="P3" s="24" t="s">
        <v>44</v>
      </c>
      <c r="Q3" s="25"/>
      <c r="R3" s="26" t="s">
        <v>45</v>
      </c>
      <c r="S3" s="26" t="s">
        <v>44</v>
      </c>
    </row>
    <row r="4" spans="1:19" collapsed="1">
      <c r="A4" s="9">
        <v>8</v>
      </c>
      <c r="B4" s="7">
        <f>DATE(2026,7,27)</f>
        <v>46230</v>
      </c>
      <c r="C4" s="11" t="s">
        <v>62</v>
      </c>
      <c r="D4" s="11" t="s">
        <v>62</v>
      </c>
      <c r="E4" s="1" t="s">
        <v>63</v>
      </c>
      <c r="F4" s="1">
        <v>78</v>
      </c>
      <c r="G4" s="1">
        <v>34</v>
      </c>
      <c r="H4" s="1">
        <v>26</v>
      </c>
      <c r="I4" s="1">
        <f t="shared" ref="I4:I11" si="0">MIN(E4:H4)</f>
        <v>26</v>
      </c>
      <c r="J4" s="1">
        <f t="shared" ref="J4:J11" si="1">MAX(E4:H4)</f>
        <v>78</v>
      </c>
      <c r="K4" s="1" t="e">
        <f t="shared" ref="K4:K11" si="2">MODE(E4:H4)</f>
        <v>#N/A</v>
      </c>
      <c r="L4" s="1">
        <f t="shared" ref="L4:L11" si="3">MEDIAN(E4:H4)</f>
        <v>34</v>
      </c>
      <c r="M4" s="1">
        <f t="shared" ref="M4:M11" si="4">AVERAGE(E4:H4)</f>
        <v>46</v>
      </c>
      <c r="N4" s="1">
        <f t="shared" ref="N4:N11" si="5">SUM(E4:H4)</f>
        <v>138</v>
      </c>
      <c r="O4" s="1">
        <f t="shared" ref="O4:O11" si="6">RANK(N4,N$4:N$11)</f>
        <v>8</v>
      </c>
      <c r="P4" s="16" t="str">
        <f t="shared" ref="P4:P11" si="7">IF(M4 &gt; 50,"Pass","Fail")</f>
        <v>Fail</v>
      </c>
      <c r="R4" s="1" t="s">
        <v>46</v>
      </c>
      <c r="S4" s="1" t="str">
        <f>IF(R4="Female","Very Smile","Not Much")</f>
        <v>Not Much</v>
      </c>
    </row>
    <row r="5" spans="1:19">
      <c r="A5" s="9">
        <v>3</v>
      </c>
      <c r="B5" s="7">
        <f>DATE(2026,7,22)</f>
        <v>46225</v>
      </c>
      <c r="C5" s="11" t="s">
        <v>60</v>
      </c>
      <c r="D5" s="11" t="s">
        <v>60</v>
      </c>
      <c r="E5" s="1" t="s">
        <v>61</v>
      </c>
      <c r="F5" s="1">
        <v>35</v>
      </c>
      <c r="G5" s="1">
        <v>34</v>
      </c>
      <c r="H5" s="1">
        <v>90</v>
      </c>
      <c r="I5" s="1">
        <f t="shared" si="0"/>
        <v>34</v>
      </c>
      <c r="J5" s="1">
        <f t="shared" si="1"/>
        <v>90</v>
      </c>
      <c r="K5" s="1" t="e">
        <f t="shared" si="2"/>
        <v>#N/A</v>
      </c>
      <c r="L5" s="1">
        <f t="shared" si="3"/>
        <v>35</v>
      </c>
      <c r="M5" s="1">
        <f t="shared" si="4"/>
        <v>53</v>
      </c>
      <c r="N5" s="1">
        <f t="shared" si="5"/>
        <v>159</v>
      </c>
      <c r="O5" s="1">
        <f t="shared" si="6"/>
        <v>7</v>
      </c>
      <c r="P5" s="16" t="str">
        <f t="shared" si="7"/>
        <v>Pass</v>
      </c>
      <c r="R5" s="1" t="s">
        <v>47</v>
      </c>
      <c r="S5" s="1" t="str">
        <f t="shared" ref="S5:S11" si="8">IF(R5="Female","Very Smile","Not Much")</f>
        <v>Very Smile</v>
      </c>
    </row>
    <row r="6" spans="1:19">
      <c r="A6" s="9">
        <v>4</v>
      </c>
      <c r="B6" s="7">
        <f>DATE(2026,7,23)</f>
        <v>46226</v>
      </c>
      <c r="C6" s="11" t="s">
        <v>64</v>
      </c>
      <c r="D6" s="11" t="s">
        <v>64</v>
      </c>
      <c r="E6" s="1" t="s">
        <v>65</v>
      </c>
      <c r="F6" s="1">
        <v>65</v>
      </c>
      <c r="G6" s="1">
        <v>86</v>
      </c>
      <c r="H6" s="1">
        <v>65</v>
      </c>
      <c r="I6" s="1">
        <f t="shared" si="0"/>
        <v>65</v>
      </c>
      <c r="J6" s="1">
        <f t="shared" si="1"/>
        <v>86</v>
      </c>
      <c r="K6" s="1">
        <f t="shared" si="2"/>
        <v>65</v>
      </c>
      <c r="L6" s="1">
        <f t="shared" si="3"/>
        <v>65</v>
      </c>
      <c r="M6" s="1">
        <f t="shared" si="4"/>
        <v>72</v>
      </c>
      <c r="N6" s="1">
        <f t="shared" si="5"/>
        <v>216</v>
      </c>
      <c r="O6" s="1">
        <f t="shared" si="6"/>
        <v>6</v>
      </c>
      <c r="P6" s="16" t="str">
        <f t="shared" si="7"/>
        <v>Pass</v>
      </c>
      <c r="R6" s="1" t="s">
        <v>46</v>
      </c>
      <c r="S6" s="1" t="str">
        <f t="shared" si="8"/>
        <v>Not Much</v>
      </c>
    </row>
    <row r="7" spans="1:19">
      <c r="A7" s="9">
        <v>7</v>
      </c>
      <c r="B7" s="7">
        <f>DATE(2026,7,26)</f>
        <v>46229</v>
      </c>
      <c r="C7" s="11" t="s">
        <v>69</v>
      </c>
      <c r="D7" s="11" t="s">
        <v>69</v>
      </c>
      <c r="E7" s="1" t="s">
        <v>70</v>
      </c>
      <c r="F7" s="1">
        <v>57</v>
      </c>
      <c r="G7" s="1">
        <v>79</v>
      </c>
      <c r="H7" s="1">
        <v>89</v>
      </c>
      <c r="I7" s="1">
        <f t="shared" si="0"/>
        <v>57</v>
      </c>
      <c r="J7" s="1">
        <f t="shared" si="1"/>
        <v>89</v>
      </c>
      <c r="K7" s="1" t="e">
        <f t="shared" si="2"/>
        <v>#N/A</v>
      </c>
      <c r="L7" s="1">
        <f t="shared" si="3"/>
        <v>79</v>
      </c>
      <c r="M7" s="1">
        <f t="shared" si="4"/>
        <v>75</v>
      </c>
      <c r="N7" s="1">
        <f t="shared" si="5"/>
        <v>225</v>
      </c>
      <c r="O7" s="1">
        <f t="shared" si="6"/>
        <v>5</v>
      </c>
      <c r="P7" s="16" t="str">
        <f t="shared" si="7"/>
        <v>Pass</v>
      </c>
      <c r="R7" s="1" t="s">
        <v>46</v>
      </c>
      <c r="S7" s="1" t="str">
        <f t="shared" si="8"/>
        <v>Not Much</v>
      </c>
    </row>
    <row r="8" spans="1:19">
      <c r="A8" s="9">
        <v>1</v>
      </c>
      <c r="B8" s="7">
        <f>DATE(2026,7,20)</f>
        <v>46223</v>
      </c>
      <c r="C8" s="11" t="s">
        <v>49</v>
      </c>
      <c r="D8" s="11" t="s">
        <v>49</v>
      </c>
      <c r="E8" s="1" t="s">
        <v>66</v>
      </c>
      <c r="F8" s="1">
        <v>78</v>
      </c>
      <c r="G8" s="1">
        <v>89</v>
      </c>
      <c r="H8" s="1">
        <v>67</v>
      </c>
      <c r="I8" s="1">
        <f t="shared" si="0"/>
        <v>67</v>
      </c>
      <c r="J8" s="1">
        <f t="shared" si="1"/>
        <v>89</v>
      </c>
      <c r="K8" s="1" t="e">
        <f t="shared" si="2"/>
        <v>#N/A</v>
      </c>
      <c r="L8" s="1">
        <f t="shared" si="3"/>
        <v>78</v>
      </c>
      <c r="M8" s="1">
        <f t="shared" si="4"/>
        <v>78</v>
      </c>
      <c r="N8" s="1">
        <f t="shared" si="5"/>
        <v>234</v>
      </c>
      <c r="O8" s="1">
        <f t="shared" si="6"/>
        <v>4</v>
      </c>
      <c r="P8" s="16" t="str">
        <f t="shared" si="7"/>
        <v>Pass</v>
      </c>
      <c r="R8" s="1" t="s">
        <v>46</v>
      </c>
      <c r="S8" s="1" t="str">
        <f t="shared" si="8"/>
        <v>Not Much</v>
      </c>
    </row>
    <row r="9" spans="1:19" hidden="1" outlineLevel="1">
      <c r="A9" s="9">
        <v>6</v>
      </c>
      <c r="B9" s="7">
        <f>DATE(2026,7,25)</f>
        <v>46228</v>
      </c>
      <c r="C9" s="11" t="s">
        <v>67</v>
      </c>
      <c r="D9" s="11" t="s">
        <v>67</v>
      </c>
      <c r="E9" s="1" t="s">
        <v>68</v>
      </c>
      <c r="F9" s="1">
        <v>89</v>
      </c>
      <c r="G9" s="1">
        <v>57</v>
      </c>
      <c r="H9" s="1">
        <v>90</v>
      </c>
      <c r="I9" s="1">
        <f t="shared" si="0"/>
        <v>57</v>
      </c>
      <c r="J9" s="1">
        <f t="shared" si="1"/>
        <v>90</v>
      </c>
      <c r="K9" s="1" t="e">
        <f t="shared" si="2"/>
        <v>#N/A</v>
      </c>
      <c r="L9" s="1">
        <f t="shared" si="3"/>
        <v>89</v>
      </c>
      <c r="M9" s="1">
        <f t="shared" si="4"/>
        <v>78.666666666666671</v>
      </c>
      <c r="N9" s="1">
        <f t="shared" si="5"/>
        <v>236</v>
      </c>
      <c r="O9" s="1">
        <f t="shared" si="6"/>
        <v>3</v>
      </c>
      <c r="P9" s="16" t="str">
        <f t="shared" si="7"/>
        <v>Pass</v>
      </c>
      <c r="R9" s="1" t="s">
        <v>47</v>
      </c>
      <c r="S9" s="1" t="str">
        <f t="shared" si="8"/>
        <v>Very Smile</v>
      </c>
    </row>
    <row r="10" spans="1:19" collapsed="1">
      <c r="A10" s="9">
        <v>2</v>
      </c>
      <c r="B10" s="7">
        <f>DATE(2026,7,21)</f>
        <v>46224</v>
      </c>
      <c r="C10" s="11" t="s">
        <v>50</v>
      </c>
      <c r="D10" s="11" t="s">
        <v>50</v>
      </c>
      <c r="E10" s="1" t="s">
        <v>71</v>
      </c>
      <c r="F10" s="1">
        <v>89</v>
      </c>
      <c r="G10" s="1">
        <v>90</v>
      </c>
      <c r="H10" s="1">
        <v>98</v>
      </c>
      <c r="I10" s="1">
        <f t="shared" si="0"/>
        <v>89</v>
      </c>
      <c r="J10" s="1">
        <f t="shared" si="1"/>
        <v>98</v>
      </c>
      <c r="K10" s="1" t="e">
        <f t="shared" si="2"/>
        <v>#N/A</v>
      </c>
      <c r="L10" s="1">
        <f t="shared" si="3"/>
        <v>90</v>
      </c>
      <c r="M10" s="1">
        <f t="shared" si="4"/>
        <v>92.333333333333329</v>
      </c>
      <c r="N10" s="1">
        <f t="shared" si="5"/>
        <v>277</v>
      </c>
      <c r="O10" s="1">
        <f t="shared" si="6"/>
        <v>2</v>
      </c>
      <c r="P10" s="16" t="str">
        <f t="shared" si="7"/>
        <v>Pass</v>
      </c>
      <c r="R10" s="1" t="s">
        <v>46</v>
      </c>
      <c r="S10" s="1" t="str">
        <f t="shared" si="8"/>
        <v>Not Much</v>
      </c>
    </row>
    <row r="11" spans="1:19">
      <c r="A11" s="10">
        <v>5</v>
      </c>
      <c r="B11" s="13">
        <f>DATE(2026,7,24)</f>
        <v>46227</v>
      </c>
      <c r="C11" s="14" t="s">
        <v>72</v>
      </c>
      <c r="D11" s="14" t="s">
        <v>72</v>
      </c>
      <c r="E11" s="15" t="s">
        <v>73</v>
      </c>
      <c r="F11" s="15">
        <v>90</v>
      </c>
      <c r="G11" s="15">
        <v>97</v>
      </c>
      <c r="H11" s="15">
        <v>97</v>
      </c>
      <c r="I11" s="15">
        <f t="shared" si="0"/>
        <v>90</v>
      </c>
      <c r="J11" s="15">
        <f t="shared" si="1"/>
        <v>97</v>
      </c>
      <c r="K11" s="15">
        <f t="shared" si="2"/>
        <v>97</v>
      </c>
      <c r="L11" s="15">
        <f t="shared" si="3"/>
        <v>97</v>
      </c>
      <c r="M11" s="15">
        <f t="shared" si="4"/>
        <v>94.666666666666671</v>
      </c>
      <c r="N11" s="15">
        <f t="shared" si="5"/>
        <v>284</v>
      </c>
      <c r="O11" s="15">
        <f t="shared" si="6"/>
        <v>1</v>
      </c>
      <c r="P11" s="17" t="str">
        <f t="shared" si="7"/>
        <v>Pass</v>
      </c>
      <c r="R11" s="1" t="s">
        <v>47</v>
      </c>
      <c r="S11" s="1" t="str">
        <f t="shared" si="8"/>
        <v>Very Smile</v>
      </c>
    </row>
    <row r="12" spans="1:19">
      <c r="R12" s="1" t="s">
        <v>47</v>
      </c>
      <c r="S12" s="1" t="str">
        <f t="shared" ref="S12" si="9">IF(R12="Female","Very Smile","Not Much")</f>
        <v>Very Smile</v>
      </c>
    </row>
    <row r="13" spans="1:19">
      <c r="L13" t="s">
        <v>38</v>
      </c>
      <c r="M13" t="s">
        <v>59</v>
      </c>
      <c r="N13" t="str">
        <f>UPPER(L13)</f>
        <v>DAWIT</v>
      </c>
      <c r="P13" t="str">
        <f>LOWER(N13)</f>
        <v>dawit</v>
      </c>
      <c r="Q13">
        <f>MAX(6,10,3,9)</f>
        <v>10</v>
      </c>
    </row>
    <row r="14" spans="1:19">
      <c r="B14" s="5" t="s">
        <v>56</v>
      </c>
      <c r="C14" s="5"/>
      <c r="D14" s="12"/>
      <c r="F14" s="11" t="s">
        <v>7</v>
      </c>
      <c r="G14" s="19">
        <v>8</v>
      </c>
      <c r="J14" s="20" t="s">
        <v>58</v>
      </c>
    </row>
    <row r="15" spans="1:19">
      <c r="F15" s="11" t="s">
        <v>12</v>
      </c>
      <c r="G15" s="19">
        <v>7</v>
      </c>
    </row>
    <row r="16" spans="1:19">
      <c r="F16" s="11" t="s">
        <v>8</v>
      </c>
      <c r="G16" s="19">
        <v>6</v>
      </c>
    </row>
    <row r="17" spans="6:7">
      <c r="F17" s="11" t="s">
        <v>5</v>
      </c>
      <c r="G17" s="19">
        <v>5</v>
      </c>
    </row>
    <row r="18" spans="6:7">
      <c r="F18" s="11" t="s">
        <v>10</v>
      </c>
      <c r="G18" s="19">
        <v>4</v>
      </c>
    </row>
    <row r="19" spans="6:7">
      <c r="F19" s="11" t="s">
        <v>11</v>
      </c>
      <c r="G19" s="19">
        <v>3</v>
      </c>
    </row>
    <row r="20" spans="6:7">
      <c r="F20" s="11" t="s">
        <v>6</v>
      </c>
      <c r="G20" s="19">
        <v>2</v>
      </c>
    </row>
    <row r="21" spans="6:7">
      <c r="F21" s="18" t="s">
        <v>9</v>
      </c>
      <c r="G21" s="19">
        <v>1</v>
      </c>
    </row>
  </sheetData>
  <mergeCells count="2">
    <mergeCell ref="E2:H2"/>
    <mergeCell ref="A1:H1"/>
  </mergeCells>
  <conditionalFormatting sqref="M4:M11">
    <cfRule type="colorScale" priority="20">
      <colorScale>
        <cfvo type="min" val="0"/>
        <cfvo type="percentile" val="50"/>
        <cfvo type="max" val="0"/>
        <color rgb="FFF8696B"/>
        <color rgb="FFFFEB84"/>
        <color rgb="FF5A8AC6"/>
      </colorScale>
    </cfRule>
  </conditionalFormatting>
  <conditionalFormatting sqref="N4:N11">
    <cfRule type="iconSet" priority="21">
      <iconSet>
        <cfvo type="percent" val="0"/>
        <cfvo type="percent" val="33"/>
        <cfvo type="percent" val="67"/>
      </iconSet>
    </cfRule>
    <cfRule type="dataBar" priority="22">
      <dataBar>
        <cfvo type="min" val="0"/>
        <cfvo type="max" val="0"/>
        <color rgb="FF63C384"/>
      </dataBar>
    </cfRule>
  </conditionalFormatting>
  <conditionalFormatting sqref="P4:P11">
    <cfRule type="iconSet" priority="23">
      <iconSet iconSet="3TrafficLights2">
        <cfvo type="percent" val="0"/>
        <cfvo type="percent" val="33"/>
        <cfvo type="percent" val="67"/>
      </iconSet>
    </cfRule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3:M11">
    <cfRule type="colorScale" priority="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hyperlinks>
    <hyperlink ref="J14" r:id="rId1"/>
  </hyperlinks>
  <pageMargins left="0.7" right="0.7" top="0.75" bottom="0.75" header="0.3" footer="0.3"/>
  <pageSetup orientation="portrait" horizontalDpi="1200" verticalDpi="1200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M12" sqref="M12"/>
    </sheetView>
  </sheetViews>
  <sheetFormatPr defaultRowHeight="15"/>
  <cols>
    <col min="5" max="5" width="12" customWidth="1"/>
    <col min="7" max="7" width="14.85546875" bestFit="1" customWidth="1"/>
    <col min="9" max="9" width="10.7109375" bestFit="1" customWidth="1"/>
    <col min="10" max="10" width="11.140625" customWidth="1"/>
  </cols>
  <sheetData>
    <row r="1" spans="1:11" ht="18.75">
      <c r="A1" s="31" t="s">
        <v>22</v>
      </c>
      <c r="B1" s="31"/>
      <c r="C1" s="31"/>
      <c r="D1" s="31"/>
      <c r="E1" s="31"/>
      <c r="F1" s="31"/>
      <c r="G1" s="31"/>
      <c r="H1" s="31"/>
    </row>
    <row r="2" spans="1:11">
      <c r="A2" s="5" t="s">
        <v>23</v>
      </c>
      <c r="B2" s="5"/>
      <c r="D2" s="5"/>
      <c r="E2" s="5"/>
      <c r="F2" s="5"/>
    </row>
    <row r="3" spans="1:11">
      <c r="A3" t="s">
        <v>26</v>
      </c>
      <c r="D3" t="s">
        <v>35</v>
      </c>
      <c r="E3" t="s">
        <v>36</v>
      </c>
      <c r="G3" s="4">
        <f ca="1">TODAY()</f>
        <v>46261</v>
      </c>
      <c r="I3" s="32" t="s">
        <v>34</v>
      </c>
      <c r="J3" s="33"/>
      <c r="K3" s="33"/>
    </row>
    <row r="4" spans="1:11">
      <c r="A4" s="5" t="s">
        <v>24</v>
      </c>
      <c r="B4" s="5"/>
      <c r="C4" s="5"/>
      <c r="D4" t="s">
        <v>0</v>
      </c>
      <c r="E4" t="s">
        <v>37</v>
      </c>
      <c r="G4" s="6">
        <f ca="1">NOW()</f>
        <v>46261.486485416666</v>
      </c>
    </row>
    <row r="5" spans="1:11" ht="15.75">
      <c r="A5" t="s">
        <v>25</v>
      </c>
      <c r="D5" t="s">
        <v>38</v>
      </c>
      <c r="E5" s="4">
        <f>DATE(2000,5,20)</f>
        <v>36666</v>
      </c>
      <c r="I5" s="2" t="s">
        <v>0</v>
      </c>
      <c r="J5" s="2" t="s">
        <v>37</v>
      </c>
      <c r="K5" s="8" t="s">
        <v>53</v>
      </c>
    </row>
    <row r="6" spans="1:11">
      <c r="I6" s="1" t="s">
        <v>49</v>
      </c>
      <c r="J6" s="7">
        <f>DATE(2000,3,7)</f>
        <v>36592</v>
      </c>
      <c r="K6" s="1">
        <f ca="1">DATEDIF(J6, TODAY(),"Y")</f>
        <v>26</v>
      </c>
    </row>
    <row r="7" spans="1:11">
      <c r="A7" s="5" t="s">
        <v>27</v>
      </c>
      <c r="B7" s="5"/>
      <c r="D7" t="e">
        <f ca="1">G(E5, TODAY(),"Y")</f>
        <v>#NAME?</v>
      </c>
      <c r="I7" s="1" t="s">
        <v>50</v>
      </c>
      <c r="J7" s="7">
        <f>DATE(2004,6,19)</f>
        <v>38157</v>
      </c>
      <c r="K7" s="1">
        <f t="shared" ref="K7:K9" ca="1" si="0">DATEDIF(J7, TODAY(),"Y")</f>
        <v>22</v>
      </c>
    </row>
    <row r="8" spans="1:11">
      <c r="A8" t="s">
        <v>28</v>
      </c>
      <c r="F8" t="s">
        <v>54</v>
      </c>
      <c r="I8" s="1" t="s">
        <v>51</v>
      </c>
      <c r="J8" s="7">
        <f>DATE(1990,9,9)</f>
        <v>33125</v>
      </c>
      <c r="K8" s="1">
        <f t="shared" ca="1" si="0"/>
        <v>35</v>
      </c>
    </row>
    <row r="9" spans="1:11">
      <c r="I9" s="1" t="s">
        <v>52</v>
      </c>
      <c r="J9" s="7">
        <f>DATE(1986,4,5)</f>
        <v>31507</v>
      </c>
      <c r="K9" s="1">
        <f t="shared" ca="1" si="0"/>
        <v>40</v>
      </c>
    </row>
    <row r="11" spans="1:11">
      <c r="A11" s="5" t="s">
        <v>29</v>
      </c>
      <c r="B11" s="5"/>
      <c r="C11" s="5"/>
    </row>
    <row r="12" spans="1:11">
      <c r="A12" t="s">
        <v>30</v>
      </c>
    </row>
    <row r="13" spans="1:11">
      <c r="A13" t="s">
        <v>31</v>
      </c>
    </row>
    <row r="15" spans="1:11">
      <c r="A15" s="5" t="s">
        <v>32</v>
      </c>
      <c r="B15" s="5"/>
      <c r="G15" s="5" t="s">
        <v>41</v>
      </c>
      <c r="H15" s="5"/>
      <c r="I15" s="5"/>
    </row>
    <row r="16" spans="1:11">
      <c r="A16" t="s">
        <v>30</v>
      </c>
    </row>
    <row r="17" spans="1:7">
      <c r="A17" t="s">
        <v>33</v>
      </c>
      <c r="G17" t="s">
        <v>42</v>
      </c>
    </row>
    <row r="19" spans="1:7">
      <c r="A19" s="5" t="s">
        <v>39</v>
      </c>
      <c r="B19" s="5"/>
      <c r="C19" s="5"/>
      <c r="D19" s="5"/>
    </row>
    <row r="21" spans="1:7">
      <c r="A21" t="s">
        <v>40</v>
      </c>
    </row>
  </sheetData>
  <mergeCells count="2">
    <mergeCell ref="A1:H1"/>
    <mergeCell ref="I3:K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4:P9"/>
  <sheetViews>
    <sheetView topLeftCell="B1" zoomScale="123" zoomScaleNormal="123" workbookViewId="0">
      <selection activeCell="F16" sqref="F16"/>
    </sheetView>
  </sheetViews>
  <sheetFormatPr defaultRowHeight="15"/>
  <cols>
    <col min="3" max="3" width="9.7109375" bestFit="1" customWidth="1"/>
    <col min="4" max="4" width="13.7109375" bestFit="1" customWidth="1"/>
    <col min="5" max="5" width="6.28515625" customWidth="1"/>
    <col min="6" max="6" width="6.5703125" customWidth="1"/>
    <col min="7" max="7" width="5.42578125" customWidth="1"/>
    <col min="8" max="8" width="5.28515625" customWidth="1"/>
    <col min="9" max="9" width="4.42578125" customWidth="1"/>
    <col min="10" max="10" width="4.85546875" customWidth="1"/>
    <col min="11" max="11" width="5.5703125" customWidth="1"/>
    <col min="12" max="12" width="5.42578125" customWidth="1"/>
    <col min="13" max="13" width="4" customWidth="1"/>
    <col min="14" max="14" width="10.5703125" bestFit="1" customWidth="1"/>
    <col min="15" max="15" width="6" bestFit="1" customWidth="1"/>
    <col min="16" max="16" width="7.42578125" customWidth="1"/>
  </cols>
  <sheetData>
    <row r="4" spans="2:16">
      <c r="G4" s="28" t="s">
        <v>15</v>
      </c>
      <c r="H4" s="29"/>
      <c r="I4" s="29"/>
      <c r="J4" s="29"/>
      <c r="P4" t="s">
        <v>55</v>
      </c>
    </row>
    <row r="5" spans="2:16" ht="15.75">
      <c r="B5" s="2" t="s">
        <v>14</v>
      </c>
      <c r="C5" s="2" t="s">
        <v>48</v>
      </c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16</v>
      </c>
      <c r="J5" s="3" t="s">
        <v>17</v>
      </c>
      <c r="K5" s="3" t="s">
        <v>21</v>
      </c>
      <c r="L5" s="3" t="s">
        <v>43</v>
      </c>
      <c r="M5" s="3" t="s">
        <v>18</v>
      </c>
      <c r="N5" s="3" t="s">
        <v>19</v>
      </c>
      <c r="O5" s="3" t="s">
        <v>20</v>
      </c>
      <c r="P5" s="3" t="s">
        <v>44</v>
      </c>
    </row>
    <row r="6" spans="2:16">
      <c r="B6" s="1">
        <v>1</v>
      </c>
      <c r="C6" s="7">
        <f>DATE(2026,7,20)</f>
        <v>46223</v>
      </c>
      <c r="D6" s="1" t="s">
        <v>5</v>
      </c>
      <c r="E6" s="1">
        <v>55</v>
      </c>
      <c r="F6" s="1">
        <v>78</v>
      </c>
      <c r="G6" s="1">
        <v>89</v>
      </c>
      <c r="H6" s="1">
        <v>67</v>
      </c>
      <c r="I6" s="1">
        <f>MIN(E6:H6)</f>
        <v>55</v>
      </c>
      <c r="J6" s="1">
        <f>MAX(E6:H6)</f>
        <v>89</v>
      </c>
      <c r="K6" s="1" t="e">
        <f>MODE(E6:H6)</f>
        <v>#N/A</v>
      </c>
      <c r="L6" s="1">
        <f>MEDIAN(E6:H6)</f>
        <v>72.5</v>
      </c>
      <c r="M6" s="1">
        <f>AVERAGE(E6:H6)</f>
        <v>72.25</v>
      </c>
      <c r="N6" s="1">
        <f>SUM(E6:H6)</f>
        <v>289</v>
      </c>
      <c r="O6" s="1">
        <f>RANK(M6,M$6:M$9)</f>
        <v>2</v>
      </c>
      <c r="P6" s="1" t="str">
        <f>IF(M6&lt;50,"Fail","Pass")</f>
        <v>Pass</v>
      </c>
    </row>
    <row r="7" spans="2:16">
      <c r="B7" s="1">
        <v>2</v>
      </c>
      <c r="C7" s="7">
        <f>DATE(2026,7,21)</f>
        <v>46224</v>
      </c>
      <c r="D7" s="1" t="s">
        <v>6</v>
      </c>
      <c r="E7" s="1">
        <v>66</v>
      </c>
      <c r="F7" s="1">
        <v>76</v>
      </c>
      <c r="G7" s="1">
        <v>90</v>
      </c>
      <c r="H7" s="1">
        <v>98</v>
      </c>
      <c r="I7" s="1">
        <f t="shared" ref="I7:I9" si="0">MIN(E7:H7)</f>
        <v>66</v>
      </c>
      <c r="J7" s="1">
        <f t="shared" ref="J7:J9" si="1">MAX(E7:H7)</f>
        <v>98</v>
      </c>
      <c r="K7" s="1" t="e">
        <f t="shared" ref="K7:K9" si="2">MODE(E7:H7)</f>
        <v>#N/A</v>
      </c>
      <c r="L7" s="1">
        <f t="shared" ref="L7:L9" si="3">MEDIAN(E7:H7)</f>
        <v>83</v>
      </c>
      <c r="M7" s="1">
        <f t="shared" ref="M7:M9" si="4">AVERAGE(E7:H7)</f>
        <v>82.5</v>
      </c>
      <c r="N7" s="1">
        <f t="shared" ref="N7:N9" si="5">SUM(E7:H7)</f>
        <v>330</v>
      </c>
      <c r="O7" s="1">
        <f t="shared" ref="O7:O9" si="6">RANK(M7,M$6:M$9)</f>
        <v>1</v>
      </c>
      <c r="P7" s="1" t="str">
        <f t="shared" ref="P7:P9" si="7">IF(M7&lt;50,"Fail","Pass")</f>
        <v>Pass</v>
      </c>
    </row>
    <row r="8" spans="2:16">
      <c r="B8" s="1">
        <v>3</v>
      </c>
      <c r="C8" s="7">
        <f>DATE(2026,7,22)</f>
        <v>46225</v>
      </c>
      <c r="D8" s="1" t="s">
        <v>7</v>
      </c>
      <c r="E8" s="1">
        <v>24</v>
      </c>
      <c r="F8" s="1">
        <v>35</v>
      </c>
      <c r="G8" s="1">
        <v>34</v>
      </c>
      <c r="H8" s="1">
        <v>90</v>
      </c>
      <c r="I8" s="1">
        <f t="shared" si="0"/>
        <v>24</v>
      </c>
      <c r="J8" s="1">
        <f t="shared" si="1"/>
        <v>90</v>
      </c>
      <c r="K8" s="1" t="e">
        <f t="shared" si="2"/>
        <v>#N/A</v>
      </c>
      <c r="L8" s="1">
        <f t="shared" si="3"/>
        <v>34.5</v>
      </c>
      <c r="M8" s="1">
        <f t="shared" si="4"/>
        <v>45.75</v>
      </c>
      <c r="N8" s="1">
        <f t="shared" si="5"/>
        <v>183</v>
      </c>
      <c r="O8" s="1">
        <f t="shared" si="6"/>
        <v>4</v>
      </c>
      <c r="P8" s="1" t="str">
        <f t="shared" si="7"/>
        <v>Fail</v>
      </c>
    </row>
    <row r="9" spans="2:16">
      <c r="B9" s="1">
        <v>4</v>
      </c>
      <c r="C9" s="7">
        <f>DATE(2026,7,23)</f>
        <v>46226</v>
      </c>
      <c r="D9" s="1" t="s">
        <v>8</v>
      </c>
      <c r="E9" s="1">
        <v>68</v>
      </c>
      <c r="F9" s="1">
        <v>65</v>
      </c>
      <c r="G9" s="1">
        <v>86</v>
      </c>
      <c r="H9" s="1">
        <v>65</v>
      </c>
      <c r="I9" s="1">
        <f t="shared" si="0"/>
        <v>65</v>
      </c>
      <c r="J9" s="1">
        <f t="shared" si="1"/>
        <v>86</v>
      </c>
      <c r="K9" s="1">
        <f t="shared" si="2"/>
        <v>65</v>
      </c>
      <c r="L9" s="1">
        <f t="shared" si="3"/>
        <v>66.5</v>
      </c>
      <c r="M9" s="1">
        <f t="shared" si="4"/>
        <v>71</v>
      </c>
      <c r="N9" s="1">
        <f t="shared" si="5"/>
        <v>284</v>
      </c>
      <c r="O9" s="1">
        <f t="shared" si="6"/>
        <v>3</v>
      </c>
      <c r="P9" s="1" t="str">
        <f t="shared" si="7"/>
        <v>Pass</v>
      </c>
    </row>
  </sheetData>
  <mergeCells count="1">
    <mergeCell ref="G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Students Rank</vt:lpstr>
      <vt:lpstr>Dates,Days,Months,Years</vt:lpstr>
      <vt:lpstr>Report</vt:lpstr>
      <vt:lpstr>Sheet1</vt:lpstr>
      <vt:lpstr>'Students Rank'!Print_Area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 Youth Center</dc:creator>
  <cp:lastModifiedBy>Model Youth Center</cp:lastModifiedBy>
  <dcterms:created xsi:type="dcterms:W3CDTF">2026-08-19T07:36:33Z</dcterms:created>
  <dcterms:modified xsi:type="dcterms:W3CDTF">2026-08-27T08:48:56Z</dcterms:modified>
</cp:coreProperties>
</file>